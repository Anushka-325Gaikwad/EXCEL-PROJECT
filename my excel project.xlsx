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10" windowHeight="7155"/>
  </bookViews>
  <sheets>
    <sheet name="Sheet3" sheetId="3" r:id="rId1"/>
    <sheet name="Sheet1" sheetId="1" r:id="rId2"/>
  </sheets>
  <definedNames>
    <definedName name="Slicer_Name2">#N/A</definedName>
    <definedName name="Slicer_PER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5"/>
        <x14:slicerCache r:id="rId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<sst xmlns="http://schemas.openxmlformats.org/spreadsheetml/2006/main" count="105" uniqueCount="58">
  <si>
    <t>RESULT</t>
  </si>
  <si>
    <t>(ALL)</t>
  </si>
  <si>
    <t>Name</t>
  </si>
  <si>
    <t>Sum of Marathi</t>
  </si>
  <si>
    <t>Sum of Sci-1</t>
  </si>
  <si>
    <t>Sum of Hindi</t>
  </si>
  <si>
    <t>Sum of Sci-2</t>
  </si>
  <si>
    <t>Sum of CHEM</t>
  </si>
  <si>
    <t>Sum of PHY</t>
  </si>
  <si>
    <t>Sum of M2</t>
  </si>
  <si>
    <t>Sum of M1</t>
  </si>
  <si>
    <t>Sum of English</t>
  </si>
  <si>
    <t>Aditya</t>
  </si>
  <si>
    <t>Aniket</t>
  </si>
  <si>
    <t>Anushka</t>
  </si>
  <si>
    <t>Sanika</t>
  </si>
  <si>
    <t>Utkarsha</t>
  </si>
  <si>
    <t>Dipika</t>
  </si>
  <si>
    <t>Riya</t>
  </si>
  <si>
    <t>Sima</t>
  </si>
  <si>
    <t>Rutuja</t>
  </si>
  <si>
    <t>Kiyara</t>
  </si>
  <si>
    <t>Minal</t>
  </si>
  <si>
    <t>Grand Total</t>
  </si>
  <si>
    <t>Student Result Analysis</t>
  </si>
  <si>
    <t>Sr.No</t>
  </si>
  <si>
    <t>F_Name</t>
  </si>
  <si>
    <t>Fathers Name</t>
  </si>
  <si>
    <t>Surname</t>
  </si>
  <si>
    <t>Std</t>
  </si>
  <si>
    <t>English</t>
  </si>
  <si>
    <t>Hindi</t>
  </si>
  <si>
    <t>Marathi</t>
  </si>
  <si>
    <t>Sci-1</t>
  </si>
  <si>
    <t>Sci-2</t>
  </si>
  <si>
    <t>M1</t>
  </si>
  <si>
    <t>M2</t>
  </si>
  <si>
    <t>CHEM</t>
  </si>
  <si>
    <t>PHY</t>
  </si>
  <si>
    <t>SUM</t>
  </si>
  <si>
    <t>PER</t>
  </si>
  <si>
    <t>Mr.Uttam</t>
  </si>
  <si>
    <t>Gaikwad</t>
  </si>
  <si>
    <t>10th</t>
  </si>
  <si>
    <t>Fail</t>
  </si>
  <si>
    <t>9th</t>
  </si>
  <si>
    <t>Pass</t>
  </si>
  <si>
    <t>8th</t>
  </si>
  <si>
    <t>Mr.Anil</t>
  </si>
  <si>
    <t>Mr.Dipak</t>
  </si>
  <si>
    <t>Kamble</t>
  </si>
  <si>
    <t>Mr.Satish</t>
  </si>
  <si>
    <t>Patil</t>
  </si>
  <si>
    <t>Mr.Nitin</t>
  </si>
  <si>
    <t>Mr.Balu</t>
  </si>
  <si>
    <t>Salunkhe</t>
  </si>
  <si>
    <t>Mr.Sitaram</t>
  </si>
  <si>
    <t>Mali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</si>
</sst>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u/>
      <sz val="22"/>
      <color theme="0"/>
      <name val="Bodoni MT Black"/>
      <charset val="134"/>
    </font>
    <font>
      <b/>
      <sz val="11"/>
      <color theme="1"/>
      <name val="Bodoni MT Black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horizontal="right" vertical="center"/>
    </xf>
    <xf numFmtId="0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0" fontId="3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NumberFormat="1" applyFont="1" applyFill="1" applyBorder="1" applyAlignment="1" applyProtection="1">
      <alignment vertical="center"/>
    </xf>
    <xf numFmtId="10" fontId="0" fillId="0" borderId="1" xfId="0" applyNumberFormat="1" applyFont="1" applyFill="1" applyBorder="1" applyAlignment="1" applyProtection="1">
      <alignment vertical="center"/>
    </xf>
    <xf numFmtId="10" fontId="3" fillId="0" borderId="1" xfId="0" applyNumberFormat="1" applyFont="1" applyFill="1" applyBorder="1" applyAlignment="1">
      <alignment vertical="center"/>
    </xf>
    <xf numFmtId="0" fontId="0" fillId="0" borderId="0" xfId="0" applyFont="1" applyBorder="1">
      <alignment vertical="center"/>
    </xf>
    <xf numFmtId="0" fontId="4" fillId="0" borderId="0" xfId="0" applyFont="1" applyBorder="1">
      <alignment vertical="center"/>
    </xf>
    <xf numFmtId="10" fontId="0" fillId="0" borderId="1" xfId="0" applyNumberFormat="1" applyBorder="1">
      <alignment vertical="center"/>
    </xf>
    <xf numFmtId="0" fontId="0" fillId="0" borderId="4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8"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right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0" formatCode="0.00%"/>
      <fill>
        <patternFill patternType="none"/>
      </fill>
      <alignment vertical="center"/>
    </dxf>
    <dxf>
      <numFmt numFmtId="10" formatCode="0.00%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0"/>
      </font>
      <fill>
        <patternFill patternType="solid">
          <fgColor theme="5"/>
          <bgColor theme="5"/>
        </patternFill>
      </fill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fill>
        <patternFill patternType="solid">
          <fgColor theme="5" tint="0.799981688894314"/>
          <bgColor theme="5" tint="0.799981688894314"/>
        </patternFill>
      </fill>
    </dxf>
    <dxf>
      <border>
        <left style="thin">
          <color theme="5" tint="0.399975585192419"/>
        </left>
        <right style="thin">
          <color theme="5" tint="0.399975585192419"/>
        </right>
      </border>
    </dxf>
    <dxf>
      <border>
        <top style="thin">
          <color theme="5" tint="0.399975585192419"/>
        </top>
        <bottom style="thin">
          <color theme="5" tint="0.399975585192419"/>
        </bottom>
        <horizontal style="thin">
          <color theme="5" tint="0.399975585192419"/>
        </horizontal>
      </border>
    </dxf>
    <dxf>
      <fill>
        <patternFill patternType="solid">
          <fgColor theme="5" tint="0.599993896298105"/>
          <bgColor theme="5" tint="0.599993896298105"/>
        </patternFill>
      </fill>
    </dxf>
    <dxf>
      <font>
        <b val="1"/>
        <color theme="1"/>
      </font>
      <border>
        <top style="thin">
          <color theme="5" tint="-0.249977111117893"/>
        </top>
        <bottom style="medium">
          <color theme="5" tint="-0.249977111117893"/>
        </bottom>
      </border>
    </dxf>
    <dxf>
      <font>
        <b val="1"/>
        <color theme="0"/>
      </font>
      <fill>
        <patternFill patternType="solid">
          <fgColor theme="5"/>
          <bgColor theme="5"/>
        </patternFill>
      </fill>
      <border>
        <top style="medium">
          <color theme="5" tint="-0.249977111117893"/>
        </top>
      </border>
    </dxf>
    <dxf>
      <font>
        <color theme="1"/>
      </font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  <tableStyle name="PivotStylePreset2_Accent1" table="0" count="10" xr9:uid="{267968C8-6FFD-4C36-ACC1-9EA1FD1885CA}">
      <tableStyleElement type="headerRow" dxfId="34"/>
      <tableStyleElement type="totalRow" dxfId="33"/>
      <tableStyleElement type="firstRowStripe" dxfId="32"/>
      <tableStyleElement type="firstColumnStripe" dxfId="31"/>
      <tableStyleElement type="firstSubtotalRow" dxfId="30"/>
      <tableStyleElement type="secondSubtotalRow" dxfId="29"/>
      <tableStyleElement type="firstRowSubheading" dxfId="28"/>
      <tableStyleElement type="secondRowSubheading" dxfId="27"/>
      <tableStyleElement type="pageFieldLabels" dxfId="26"/>
      <tableStyleElement type="pageFieldValues" dxfId="25"/>
    </tableStyle>
    <tableStyle name="PivotStylePreset5_Accent2" table="0" count="13" xr9:uid="{29743B4E-3D7C-4A74-A432-EBA6C46D4289}">
      <tableStyleElement type="wholeTable" dxfId="47"/>
      <tableStyleElement type="headerRow" dxfId="46"/>
      <tableStyleElement type="totalRow" dxfId="45"/>
      <tableStyleElement type="firstColumn" dxfId="44"/>
      <tableStyleElement type="firstRowStripe" dxfId="43"/>
      <tableStyleElement type="firstColumnStripe" dxfId="42"/>
      <tableStyleElement type="firstSubtotalColumn" dxfId="41"/>
      <tableStyleElement type="firstSubtotalRow" dxfId="40"/>
      <tableStyleElement type="secondSubtotalRow" dxfId="39"/>
      <tableStyleElement type="firstRowSubheading" dxfId="38"/>
      <tableStyleElement type="secondRowSubheading" dxfId="37"/>
      <tableStyleElement type="pageFieldLabels" dxfId="36"/>
      <tableStyleElement type="pageFieldValues" dxfId="3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excel project.xlsx]Sheet3!PivotTable5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Sheet3!$B$4</c:f>
              <c:strCache>
                <c:ptCount val="1"/>
                <c:pt idx="0">
                  <c:v>Sum of Marathi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Sheet3!$A$5:$A$16</c:f>
              <c:strCache>
                <c:ptCount val="11"/>
                <c:pt idx="0">
                  <c:v>Aditya</c:v>
                </c:pt>
                <c:pt idx="1">
                  <c:v>Aniket</c:v>
                </c:pt>
                <c:pt idx="2">
                  <c:v>Anushka</c:v>
                </c:pt>
                <c:pt idx="3">
                  <c:v>Sanika</c:v>
                </c:pt>
                <c:pt idx="4">
                  <c:v>Utkarsha</c:v>
                </c:pt>
                <c:pt idx="5">
                  <c:v>Dipika</c:v>
                </c:pt>
                <c:pt idx="6">
                  <c:v>Riya</c:v>
                </c:pt>
                <c:pt idx="7">
                  <c:v>Sima</c:v>
                </c:pt>
                <c:pt idx="8">
                  <c:v>Rutuja</c:v>
                </c:pt>
                <c:pt idx="9">
                  <c:v>Kiyara</c:v>
                </c:pt>
                <c:pt idx="10">
                  <c:v>Minal</c:v>
                </c:pt>
              </c:strCache>
            </c:strRef>
          </c:cat>
          <c:val>
            <c:numRef>
              <c:f>Sheet3!$B$5:$B$16</c:f>
              <c:numCache>
                <c:formatCode>General</c:formatCode>
                <c:ptCount val="11"/>
                <c:pt idx="0">
                  <c:v>17</c:v>
                </c:pt>
                <c:pt idx="1">
                  <c:v>18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19</c:v>
                </c:pt>
                <c:pt idx="6">
                  <c:v>22</c:v>
                </c:pt>
                <c:pt idx="7">
                  <c:v>19</c:v>
                </c:pt>
                <c:pt idx="8">
                  <c:v>22</c:v>
                </c:pt>
                <c:pt idx="9">
                  <c:v>19</c:v>
                </c:pt>
                <c:pt idx="10">
                  <c:v>22</c:v>
                </c:pt>
              </c:numCache>
            </c:numRef>
          </c:val>
        </c:ser>
        <c:ser>
          <c:idx val="1"/>
          <c:order val="1"/>
          <c:tx>
            <c:strRef>
              <c:f>Sheet3!$C$4</c:f>
              <c:strCache>
                <c:ptCount val="1"/>
                <c:pt idx="0">
                  <c:v>Sum of Sci-1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Sheet3!$A$5:$A$16</c:f>
              <c:strCache>
                <c:ptCount val="11"/>
                <c:pt idx="0">
                  <c:v>Aditya</c:v>
                </c:pt>
                <c:pt idx="1">
                  <c:v>Aniket</c:v>
                </c:pt>
                <c:pt idx="2">
                  <c:v>Anushka</c:v>
                </c:pt>
                <c:pt idx="3">
                  <c:v>Sanika</c:v>
                </c:pt>
                <c:pt idx="4">
                  <c:v>Utkarsha</c:v>
                </c:pt>
                <c:pt idx="5">
                  <c:v>Dipika</c:v>
                </c:pt>
                <c:pt idx="6">
                  <c:v>Riya</c:v>
                </c:pt>
                <c:pt idx="7">
                  <c:v>Sima</c:v>
                </c:pt>
                <c:pt idx="8">
                  <c:v>Rutuja</c:v>
                </c:pt>
                <c:pt idx="9">
                  <c:v>Kiyara</c:v>
                </c:pt>
                <c:pt idx="10">
                  <c:v>Minal</c:v>
                </c:pt>
              </c:strCache>
            </c:strRef>
          </c:cat>
          <c:val>
            <c:numRef>
              <c:f>Sheet3!$C$5:$C$16</c:f>
              <c:numCache>
                <c:formatCode>General</c:formatCode>
                <c:ptCount val="11"/>
                <c:pt idx="0">
                  <c:v>18</c:v>
                </c:pt>
                <c:pt idx="1">
                  <c:v>19</c:v>
                </c:pt>
                <c:pt idx="2">
                  <c:v>15</c:v>
                </c:pt>
                <c:pt idx="3">
                  <c:v>30</c:v>
                </c:pt>
                <c:pt idx="4">
                  <c:v>17</c:v>
                </c:pt>
                <c:pt idx="5">
                  <c:v>21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21</c:v>
                </c:pt>
                <c:pt idx="10">
                  <c:v>12</c:v>
                </c:pt>
              </c:numCache>
            </c:numRef>
          </c:val>
        </c:ser>
        <c:ser>
          <c:idx val="2"/>
          <c:order val="2"/>
          <c:tx>
            <c:strRef>
              <c:f>Sheet3!$D$4</c:f>
              <c:strCache>
                <c:ptCount val="1"/>
                <c:pt idx="0">
                  <c:v>Sum of Hindi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Sheet3!$A$5:$A$16</c:f>
              <c:strCache>
                <c:ptCount val="11"/>
                <c:pt idx="0">
                  <c:v>Aditya</c:v>
                </c:pt>
                <c:pt idx="1">
                  <c:v>Aniket</c:v>
                </c:pt>
                <c:pt idx="2">
                  <c:v>Anushka</c:v>
                </c:pt>
                <c:pt idx="3">
                  <c:v>Sanika</c:v>
                </c:pt>
                <c:pt idx="4">
                  <c:v>Utkarsha</c:v>
                </c:pt>
                <c:pt idx="5">
                  <c:v>Dipika</c:v>
                </c:pt>
                <c:pt idx="6">
                  <c:v>Riya</c:v>
                </c:pt>
                <c:pt idx="7">
                  <c:v>Sima</c:v>
                </c:pt>
                <c:pt idx="8">
                  <c:v>Rutuja</c:v>
                </c:pt>
                <c:pt idx="9">
                  <c:v>Kiyara</c:v>
                </c:pt>
                <c:pt idx="10">
                  <c:v>Minal</c:v>
                </c:pt>
              </c:strCache>
            </c:strRef>
          </c:cat>
          <c:val>
            <c:numRef>
              <c:f>Sheet3!$D$5:$D$16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11</c:v>
                </c:pt>
                <c:pt idx="3">
                  <c:v>23</c:v>
                </c:pt>
                <c:pt idx="4">
                  <c:v>15</c:v>
                </c:pt>
                <c:pt idx="5">
                  <c:v>22</c:v>
                </c:pt>
                <c:pt idx="6">
                  <c:v>21</c:v>
                </c:pt>
                <c:pt idx="7">
                  <c:v>11</c:v>
                </c:pt>
                <c:pt idx="8">
                  <c:v>21</c:v>
                </c:pt>
                <c:pt idx="9">
                  <c:v>22</c:v>
                </c:pt>
                <c:pt idx="10">
                  <c:v>21</c:v>
                </c:pt>
              </c:numCache>
            </c:numRef>
          </c:val>
        </c:ser>
        <c:ser>
          <c:idx val="3"/>
          <c:order val="3"/>
          <c:tx>
            <c:strRef>
              <c:f>Sheet3!$E$4</c:f>
              <c:strCache>
                <c:ptCount val="1"/>
                <c:pt idx="0">
                  <c:v>Sum of Sci-2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Sheet3!$A$5:$A$16</c:f>
              <c:strCache>
                <c:ptCount val="11"/>
                <c:pt idx="0">
                  <c:v>Aditya</c:v>
                </c:pt>
                <c:pt idx="1">
                  <c:v>Aniket</c:v>
                </c:pt>
                <c:pt idx="2">
                  <c:v>Anushka</c:v>
                </c:pt>
                <c:pt idx="3">
                  <c:v>Sanika</c:v>
                </c:pt>
                <c:pt idx="4">
                  <c:v>Utkarsha</c:v>
                </c:pt>
                <c:pt idx="5">
                  <c:v>Dipika</c:v>
                </c:pt>
                <c:pt idx="6">
                  <c:v>Riya</c:v>
                </c:pt>
                <c:pt idx="7">
                  <c:v>Sima</c:v>
                </c:pt>
                <c:pt idx="8">
                  <c:v>Rutuja</c:v>
                </c:pt>
                <c:pt idx="9">
                  <c:v>Kiyara</c:v>
                </c:pt>
                <c:pt idx="10">
                  <c:v>Minal</c:v>
                </c:pt>
              </c:strCache>
            </c:strRef>
          </c:cat>
          <c:val>
            <c:numRef>
              <c:f>Sheet3!$E$5:$E$16</c:f>
              <c:numCache>
                <c:formatCode>General</c:formatCode>
                <c:ptCount val="11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27</c:v>
                </c:pt>
                <c:pt idx="4">
                  <c:v>18</c:v>
                </c:pt>
                <c:pt idx="5">
                  <c:v>18</c:v>
                </c:pt>
                <c:pt idx="6">
                  <c:v>22</c:v>
                </c:pt>
                <c:pt idx="7">
                  <c:v>9</c:v>
                </c:pt>
                <c:pt idx="8">
                  <c:v>22</c:v>
                </c:pt>
                <c:pt idx="9">
                  <c:v>18</c:v>
                </c:pt>
                <c:pt idx="10">
                  <c:v>22</c:v>
                </c:pt>
              </c:numCache>
            </c:numRef>
          </c:val>
        </c:ser>
        <c:ser>
          <c:idx val="4"/>
          <c:order val="4"/>
          <c:tx>
            <c:strRef>
              <c:f>Sheet3!$F$4</c:f>
              <c:strCache>
                <c:ptCount val="1"/>
                <c:pt idx="0">
                  <c:v>Sum of CHEM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Sheet3!$A$5:$A$16</c:f>
              <c:strCache>
                <c:ptCount val="11"/>
                <c:pt idx="0">
                  <c:v>Aditya</c:v>
                </c:pt>
                <c:pt idx="1">
                  <c:v>Aniket</c:v>
                </c:pt>
                <c:pt idx="2">
                  <c:v>Anushka</c:v>
                </c:pt>
                <c:pt idx="3">
                  <c:v>Sanika</c:v>
                </c:pt>
                <c:pt idx="4">
                  <c:v>Utkarsha</c:v>
                </c:pt>
                <c:pt idx="5">
                  <c:v>Dipika</c:v>
                </c:pt>
                <c:pt idx="6">
                  <c:v>Riya</c:v>
                </c:pt>
                <c:pt idx="7">
                  <c:v>Sima</c:v>
                </c:pt>
                <c:pt idx="8">
                  <c:v>Rutuja</c:v>
                </c:pt>
                <c:pt idx="9">
                  <c:v>Kiyara</c:v>
                </c:pt>
                <c:pt idx="10">
                  <c:v>Minal</c:v>
                </c:pt>
              </c:strCache>
            </c:strRef>
          </c:cat>
          <c:val>
            <c:numRef>
              <c:f>Sheet3!$F$5:$F$16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3</c:v>
                </c:pt>
                <c:pt idx="3">
                  <c:v>22</c:v>
                </c:pt>
                <c:pt idx="4">
                  <c:v>15</c:v>
                </c:pt>
                <c:pt idx="5">
                  <c:v>11</c:v>
                </c:pt>
                <c:pt idx="6">
                  <c:v>11</c:v>
                </c:pt>
                <c:pt idx="7">
                  <c:v>3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</c:numCache>
            </c:numRef>
          </c:val>
        </c:ser>
        <c:ser>
          <c:idx val="5"/>
          <c:order val="5"/>
          <c:tx>
            <c:strRef>
              <c:f>Sheet3!$G$4</c:f>
              <c:strCache>
                <c:ptCount val="1"/>
                <c:pt idx="0">
                  <c:v>Sum of PHY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Sheet3!$A$5:$A$16</c:f>
              <c:strCache>
                <c:ptCount val="11"/>
                <c:pt idx="0">
                  <c:v>Aditya</c:v>
                </c:pt>
                <c:pt idx="1">
                  <c:v>Aniket</c:v>
                </c:pt>
                <c:pt idx="2">
                  <c:v>Anushka</c:v>
                </c:pt>
                <c:pt idx="3">
                  <c:v>Sanika</c:v>
                </c:pt>
                <c:pt idx="4">
                  <c:v>Utkarsha</c:v>
                </c:pt>
                <c:pt idx="5">
                  <c:v>Dipika</c:v>
                </c:pt>
                <c:pt idx="6">
                  <c:v>Riya</c:v>
                </c:pt>
                <c:pt idx="7">
                  <c:v>Sima</c:v>
                </c:pt>
                <c:pt idx="8">
                  <c:v>Rutuja</c:v>
                </c:pt>
                <c:pt idx="9">
                  <c:v>Kiyara</c:v>
                </c:pt>
                <c:pt idx="10">
                  <c:v>Minal</c:v>
                </c:pt>
              </c:strCache>
            </c:strRef>
          </c:cat>
          <c:val>
            <c:numRef>
              <c:f>Sheet3!$G$5:$G$16</c:f>
              <c:numCache>
                <c:formatCode>General</c:formatCode>
                <c:ptCount val="11"/>
                <c:pt idx="0">
                  <c:v>23</c:v>
                </c:pt>
                <c:pt idx="1">
                  <c:v>24</c:v>
                </c:pt>
                <c:pt idx="2">
                  <c:v>12</c:v>
                </c:pt>
                <c:pt idx="3">
                  <c:v>23</c:v>
                </c:pt>
                <c:pt idx="4">
                  <c:v>22</c:v>
                </c:pt>
                <c:pt idx="5">
                  <c:v>11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11</c:v>
                </c:pt>
                <c:pt idx="10">
                  <c:v>12</c:v>
                </c:pt>
              </c:numCache>
            </c:numRef>
          </c:val>
        </c:ser>
        <c:ser>
          <c:idx val="6"/>
          <c:order val="6"/>
          <c:tx>
            <c:strRef>
              <c:f>Sheet3!$H$4</c:f>
              <c:strCache>
                <c:ptCount val="1"/>
                <c:pt idx="0">
                  <c:v>Sum of M2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Sheet3!$A$5:$A$16</c:f>
              <c:strCache>
                <c:ptCount val="11"/>
                <c:pt idx="0">
                  <c:v>Aditya</c:v>
                </c:pt>
                <c:pt idx="1">
                  <c:v>Aniket</c:v>
                </c:pt>
                <c:pt idx="2">
                  <c:v>Anushka</c:v>
                </c:pt>
                <c:pt idx="3">
                  <c:v>Sanika</c:v>
                </c:pt>
                <c:pt idx="4">
                  <c:v>Utkarsha</c:v>
                </c:pt>
                <c:pt idx="5">
                  <c:v>Dipika</c:v>
                </c:pt>
                <c:pt idx="6">
                  <c:v>Riya</c:v>
                </c:pt>
                <c:pt idx="7">
                  <c:v>Sima</c:v>
                </c:pt>
                <c:pt idx="8">
                  <c:v>Rutuja</c:v>
                </c:pt>
                <c:pt idx="9">
                  <c:v>Kiyara</c:v>
                </c:pt>
                <c:pt idx="10">
                  <c:v>Minal</c:v>
                </c:pt>
              </c:strCache>
            </c:strRef>
          </c:cat>
          <c:val>
            <c:numRef>
              <c:f>Sheet3!$H$5:$H$16</c:f>
              <c:numCache>
                <c:formatCode>General</c:formatCode>
                <c:ptCount val="11"/>
                <c:pt idx="0">
                  <c:v>16</c:v>
                </c:pt>
                <c:pt idx="1">
                  <c:v>17</c:v>
                </c:pt>
                <c:pt idx="2">
                  <c:v>8</c:v>
                </c:pt>
                <c:pt idx="3">
                  <c:v>28</c:v>
                </c:pt>
                <c:pt idx="4">
                  <c:v>15</c:v>
                </c:pt>
                <c:pt idx="5">
                  <c:v>13</c:v>
                </c:pt>
                <c:pt idx="6">
                  <c:v>23</c:v>
                </c:pt>
                <c:pt idx="7">
                  <c:v>6</c:v>
                </c:pt>
                <c:pt idx="8">
                  <c:v>23</c:v>
                </c:pt>
                <c:pt idx="9">
                  <c:v>13</c:v>
                </c:pt>
                <c:pt idx="10">
                  <c:v>23</c:v>
                </c:pt>
              </c:numCache>
            </c:numRef>
          </c:val>
        </c:ser>
        <c:ser>
          <c:idx val="7"/>
          <c:order val="7"/>
          <c:tx>
            <c:strRef>
              <c:f>Sheet3!$I$4</c:f>
              <c:strCache>
                <c:ptCount val="1"/>
                <c:pt idx="0">
                  <c:v>Sum of M1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Sheet3!$A$5:$A$16</c:f>
              <c:strCache>
                <c:ptCount val="11"/>
                <c:pt idx="0">
                  <c:v>Aditya</c:v>
                </c:pt>
                <c:pt idx="1">
                  <c:v>Aniket</c:v>
                </c:pt>
                <c:pt idx="2">
                  <c:v>Anushka</c:v>
                </c:pt>
                <c:pt idx="3">
                  <c:v>Sanika</c:v>
                </c:pt>
                <c:pt idx="4">
                  <c:v>Utkarsha</c:v>
                </c:pt>
                <c:pt idx="5">
                  <c:v>Dipika</c:v>
                </c:pt>
                <c:pt idx="6">
                  <c:v>Riya</c:v>
                </c:pt>
                <c:pt idx="7">
                  <c:v>Sima</c:v>
                </c:pt>
                <c:pt idx="8">
                  <c:v>Rutuja</c:v>
                </c:pt>
                <c:pt idx="9">
                  <c:v>Kiyara</c:v>
                </c:pt>
                <c:pt idx="10">
                  <c:v>Minal</c:v>
                </c:pt>
              </c:strCache>
            </c:strRef>
          </c:cat>
          <c:val>
            <c:numRef>
              <c:f>Sheet3!$I$5:$I$16</c:f>
              <c:numCache>
                <c:formatCode>General</c:formatCode>
                <c:ptCount val="11"/>
                <c:pt idx="0">
                  <c:v>15</c:v>
                </c:pt>
                <c:pt idx="1">
                  <c:v>16</c:v>
                </c:pt>
                <c:pt idx="2">
                  <c:v>5</c:v>
                </c:pt>
                <c:pt idx="3">
                  <c:v>26</c:v>
                </c:pt>
                <c:pt idx="4">
                  <c:v>14</c:v>
                </c:pt>
                <c:pt idx="5">
                  <c:v>12</c:v>
                </c:pt>
                <c:pt idx="6">
                  <c:v>23</c:v>
                </c:pt>
                <c:pt idx="7">
                  <c:v>5</c:v>
                </c:pt>
                <c:pt idx="8">
                  <c:v>23</c:v>
                </c:pt>
                <c:pt idx="9">
                  <c:v>12</c:v>
                </c:pt>
                <c:pt idx="10">
                  <c:v>23</c:v>
                </c:pt>
              </c:numCache>
            </c:numRef>
          </c:val>
        </c:ser>
        <c:ser>
          <c:idx val="8"/>
          <c:order val="8"/>
          <c:tx>
            <c:strRef>
              <c:f>Sheet3!$J$4</c:f>
              <c:strCache>
                <c:ptCount val="1"/>
                <c:pt idx="0">
                  <c:v>Sum of English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Sheet3!$A$5:$A$16</c:f>
              <c:strCache>
                <c:ptCount val="11"/>
                <c:pt idx="0">
                  <c:v>Aditya</c:v>
                </c:pt>
                <c:pt idx="1">
                  <c:v>Aniket</c:v>
                </c:pt>
                <c:pt idx="2">
                  <c:v>Anushka</c:v>
                </c:pt>
                <c:pt idx="3">
                  <c:v>Sanika</c:v>
                </c:pt>
                <c:pt idx="4">
                  <c:v>Utkarsha</c:v>
                </c:pt>
                <c:pt idx="5">
                  <c:v>Dipika</c:v>
                </c:pt>
                <c:pt idx="6">
                  <c:v>Riya</c:v>
                </c:pt>
                <c:pt idx="7">
                  <c:v>Sima</c:v>
                </c:pt>
                <c:pt idx="8">
                  <c:v>Rutuja</c:v>
                </c:pt>
                <c:pt idx="9">
                  <c:v>Kiyara</c:v>
                </c:pt>
                <c:pt idx="10">
                  <c:v>Minal</c:v>
                </c:pt>
              </c:strCache>
            </c:strRef>
          </c:cat>
          <c:val>
            <c:numRef>
              <c:f>Sheet3!$J$5:$J$16</c:f>
              <c:numCache>
                <c:formatCode>General</c:formatCode>
                <c:ptCount val="11"/>
                <c:pt idx="0">
                  <c:v>15</c:v>
                </c:pt>
                <c:pt idx="1">
                  <c:v>16</c:v>
                </c:pt>
                <c:pt idx="2">
                  <c:v>9</c:v>
                </c:pt>
                <c:pt idx="3">
                  <c:v>26</c:v>
                </c:pt>
                <c:pt idx="4">
                  <c:v>14</c:v>
                </c:pt>
                <c:pt idx="5">
                  <c:v>21</c:v>
                </c:pt>
                <c:pt idx="6">
                  <c:v>18</c:v>
                </c:pt>
                <c:pt idx="7">
                  <c:v>12</c:v>
                </c:pt>
                <c:pt idx="8">
                  <c:v>18</c:v>
                </c:pt>
                <c:pt idx="9">
                  <c:v>21</c:v>
                </c:pt>
                <c:pt idx="10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060888"/>
        <c:axId val="792603569"/>
      </c:barChart>
      <c:catAx>
        <c:axId val="122060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2603569"/>
        <c:crosses val="autoZero"/>
        <c:auto val="1"/>
        <c:lblAlgn val="ctr"/>
        <c:lblOffset val="100"/>
        <c:noMultiLvlLbl val="0"/>
      </c:catAx>
      <c:valAx>
        <c:axId val="7926035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2060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b2f85c2-79f6-49de-bdf8-0b16cf9ca4d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77470</xdr:colOff>
      <xdr:row>16</xdr:row>
      <xdr:rowOff>60325</xdr:rowOff>
    </xdr:from>
    <xdr:to>
      <xdr:col>2</xdr:col>
      <xdr:colOff>58420</xdr:colOff>
      <xdr:row>28</xdr:row>
      <xdr:rowOff>149225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Nam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470" y="31083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222250</xdr:colOff>
      <xdr:row>16</xdr:row>
      <xdr:rowOff>155575</xdr:rowOff>
    </xdr:from>
    <xdr:to>
      <xdr:col>3</xdr:col>
      <xdr:colOff>1012825</xdr:colOff>
      <xdr:row>29</xdr:row>
      <xdr:rowOff>53975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P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0100" y="32035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4</xdr:col>
      <xdr:colOff>130175</xdr:colOff>
      <xdr:row>16</xdr:row>
      <xdr:rowOff>136525</xdr:rowOff>
    </xdr:from>
    <xdr:to>
      <xdr:col>9</xdr:col>
      <xdr:colOff>546100</xdr:colOff>
      <xdr:row>30</xdr:row>
      <xdr:rowOff>79375</xdr:rowOff>
    </xdr:to>
    <xdr:graphicFrame>
      <xdr:nvGraphicFramePr>
        <xdr:cNvPr id="2" name="Chart 1"/>
        <xdr:cNvGraphicFramePr/>
      </xdr:nvGraphicFramePr>
      <xdr:xfrm>
        <a:off x="4054475" y="3184525"/>
        <a:ext cx="5607050" cy="2609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9.667974537" refreshedBy="Admin" recordCount="11">
  <cacheSource type="worksheet">
    <worksheetSource name="Table4"/>
  </cacheSource>
  <cacheFields count="16">
    <cacheField name="Name" numFmtId="0">
      <sharedItems count="11">
        <s v="Anushka"/>
        <s v="Sanika"/>
        <s v="Utkarsha"/>
        <s v="Aditya"/>
        <s v="Aniket"/>
        <s v="Dipika"/>
        <s v="Riya"/>
        <s v="Sima"/>
        <s v="Rutuja"/>
        <s v="Kiyara"/>
        <s v="Minal"/>
      </sharedItems>
    </cacheField>
    <cacheField name="Fathers Name" numFmtId="0">
      <sharedItems count="7">
        <s v="Mr.Uttam"/>
        <s v="Mr.Anil"/>
        <s v="Mr.Dipak"/>
        <s v="Mr.Satish"/>
        <s v="Mr.Nitin"/>
        <s v="Mr.Balu"/>
        <s v="Mr.Sitaram"/>
      </sharedItems>
    </cacheField>
    <cacheField name="Surname" numFmtId="0">
      <sharedItems count="5">
        <s v="Gaikwad"/>
        <s v="Kamble"/>
        <s v="Patil"/>
        <s v="Salunkhe"/>
        <s v="Mali"/>
      </sharedItems>
    </cacheField>
    <cacheField name="Std" numFmtId="0">
      <sharedItems count="3">
        <s v="10th"/>
        <s v="9th"/>
        <s v="8th"/>
      </sharedItems>
    </cacheField>
    <cacheField name="English" numFmtId="0">
      <sharedItems containsSemiMixedTypes="0" containsString="0" containsNumber="1" containsInteger="1" minValue="0" maxValue="26" count="8">
        <n v="9"/>
        <n v="26"/>
        <n v="14"/>
        <n v="15"/>
        <n v="16"/>
        <n v="21"/>
        <n v="18"/>
        <n v="12"/>
      </sharedItems>
    </cacheField>
    <cacheField name="Hindi" numFmtId="0">
      <sharedItems containsSemiMixedTypes="0" containsString="0" containsNumber="1" containsInteger="1" minValue="0" maxValue="23" count="7">
        <n v="11"/>
        <n v="23"/>
        <n v="15"/>
        <n v="16"/>
        <n v="17"/>
        <n v="22"/>
        <n v="21"/>
      </sharedItems>
    </cacheField>
    <cacheField name="Marathi" numFmtId="0">
      <sharedItems containsSemiMixedTypes="0" containsString="0" containsNumber="1" containsInteger="1" minValue="0" maxValue="22" count="7">
        <n v="14"/>
        <n v="15"/>
        <n v="16"/>
        <n v="17"/>
        <n v="18"/>
        <n v="19"/>
        <n v="22"/>
      </sharedItems>
    </cacheField>
    <cacheField name="Sci-1" numFmtId="0">
      <sharedItems containsSemiMixedTypes="0" containsString="0" containsNumber="1" containsInteger="1" minValue="0" maxValue="30" count="8">
        <n v="15"/>
        <n v="30"/>
        <n v="17"/>
        <n v="18"/>
        <n v="19"/>
        <n v="21"/>
        <n v="12"/>
        <n v="11"/>
      </sharedItems>
    </cacheField>
    <cacheField name="Sci-2" numFmtId="0">
      <sharedItems containsSemiMixedTypes="0" containsString="0" containsNumber="1" containsInteger="1" minValue="0" maxValue="27" count="7">
        <n v="17"/>
        <n v="27"/>
        <n v="18"/>
        <n v="19"/>
        <n v="20"/>
        <n v="22"/>
        <n v="9"/>
      </sharedItems>
    </cacheField>
    <cacheField name="M1" numFmtId="0">
      <sharedItems containsSemiMixedTypes="0" containsString="0" containsNumber="1" containsInteger="1" minValue="0" maxValue="26" count="7">
        <n v="5"/>
        <n v="26"/>
        <n v="14"/>
        <n v="15"/>
        <n v="16"/>
        <n v="12"/>
        <n v="23"/>
      </sharedItems>
    </cacheField>
    <cacheField name="M2" numFmtId="0">
      <sharedItems containsSemiMixedTypes="0" containsString="0" containsNumber="1" containsInteger="1" minValue="0" maxValue="28" count="8">
        <n v="8"/>
        <n v="28"/>
        <n v="15"/>
        <n v="16"/>
        <n v="17"/>
        <n v="13"/>
        <n v="23"/>
        <n v="6"/>
      </sharedItems>
    </cacheField>
    <cacheField name="CHEM" numFmtId="0">
      <sharedItems containsSemiMixedTypes="0" containsString="0" containsNumber="1" containsInteger="1" minValue="0" maxValue="22" count="6">
        <n v="3"/>
        <n v="22"/>
        <n v="15"/>
        <n v="16"/>
        <n v="17"/>
        <n v="11"/>
      </sharedItems>
    </cacheField>
    <cacheField name="PHY" numFmtId="0">
      <sharedItems containsSemiMixedTypes="0" containsString="0" containsNumber="1" containsInteger="1" minValue="0" maxValue="24" count="5">
        <n v="12"/>
        <n v="23"/>
        <n v="22"/>
        <n v="24"/>
        <n v="11"/>
      </sharedItems>
    </cacheField>
    <cacheField name="SUM" numFmtId="0">
      <sharedItems containsSemiMixedTypes="0" containsString="0" containsNumber="1" containsInteger="1" minValue="0" maxValue="220" count="7">
        <n v="94"/>
        <n v="220"/>
        <n v="146"/>
        <n v="155"/>
        <n v="164"/>
        <n v="148"/>
        <n v="87"/>
      </sharedItems>
    </cacheField>
    <cacheField name="PER" numFmtId="10">
      <sharedItems containsSemiMixedTypes="0" containsString="0" containsNumber="1" minValue="0.322222222222222" maxValue="0.814814814814815" count="9">
        <n v="0.348148148148148"/>
        <n v="0.814814814814815"/>
        <n v="0.540740740740741"/>
        <n v="0.574074074074074"/>
        <n v="0.607407407407407"/>
        <n v="0.548148148148148"/>
        <n v="0.322222222222222"/>
        <n v="0.477777777777778" u="1"/>
        <n v="0.688888888888889" u="1"/>
      </sharedItems>
    </cacheField>
    <cacheField name="RESULT" numFmtId="10">
      <sharedItems count="2">
        <s v="Fail"/>
        <s v="Pas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1"/>
    <x v="1"/>
    <x v="1"/>
    <x v="1"/>
    <x v="1"/>
    <x v="1"/>
    <x v="1"/>
    <x v="1"/>
    <x v="1"/>
    <x v="1"/>
    <x v="1"/>
    <x v="1"/>
    <x v="1"/>
  </r>
  <r>
    <x v="2"/>
    <x v="0"/>
    <x v="0"/>
    <x v="2"/>
    <x v="2"/>
    <x v="2"/>
    <x v="2"/>
    <x v="2"/>
    <x v="2"/>
    <x v="2"/>
    <x v="2"/>
    <x v="2"/>
    <x v="2"/>
    <x v="2"/>
    <x v="2"/>
    <x v="1"/>
  </r>
  <r>
    <x v="3"/>
    <x v="0"/>
    <x v="0"/>
    <x v="1"/>
    <x v="3"/>
    <x v="3"/>
    <x v="3"/>
    <x v="3"/>
    <x v="3"/>
    <x v="3"/>
    <x v="3"/>
    <x v="3"/>
    <x v="1"/>
    <x v="3"/>
    <x v="3"/>
    <x v="1"/>
  </r>
  <r>
    <x v="4"/>
    <x v="1"/>
    <x v="0"/>
    <x v="0"/>
    <x v="4"/>
    <x v="4"/>
    <x v="4"/>
    <x v="4"/>
    <x v="4"/>
    <x v="4"/>
    <x v="4"/>
    <x v="4"/>
    <x v="3"/>
    <x v="4"/>
    <x v="4"/>
    <x v="1"/>
  </r>
  <r>
    <x v="5"/>
    <x v="2"/>
    <x v="1"/>
    <x v="0"/>
    <x v="5"/>
    <x v="5"/>
    <x v="5"/>
    <x v="5"/>
    <x v="2"/>
    <x v="5"/>
    <x v="5"/>
    <x v="5"/>
    <x v="4"/>
    <x v="5"/>
    <x v="5"/>
    <x v="1"/>
  </r>
  <r>
    <x v="6"/>
    <x v="2"/>
    <x v="1"/>
    <x v="2"/>
    <x v="6"/>
    <x v="6"/>
    <x v="6"/>
    <x v="6"/>
    <x v="5"/>
    <x v="6"/>
    <x v="6"/>
    <x v="5"/>
    <x v="0"/>
    <x v="4"/>
    <x v="4"/>
    <x v="1"/>
  </r>
  <r>
    <x v="7"/>
    <x v="3"/>
    <x v="2"/>
    <x v="0"/>
    <x v="7"/>
    <x v="0"/>
    <x v="5"/>
    <x v="7"/>
    <x v="6"/>
    <x v="0"/>
    <x v="7"/>
    <x v="0"/>
    <x v="4"/>
    <x v="6"/>
    <x v="6"/>
    <x v="0"/>
  </r>
  <r>
    <x v="8"/>
    <x v="4"/>
    <x v="1"/>
    <x v="2"/>
    <x v="6"/>
    <x v="6"/>
    <x v="6"/>
    <x v="6"/>
    <x v="5"/>
    <x v="6"/>
    <x v="6"/>
    <x v="5"/>
    <x v="0"/>
    <x v="4"/>
    <x v="4"/>
    <x v="1"/>
  </r>
  <r>
    <x v="9"/>
    <x v="5"/>
    <x v="3"/>
    <x v="0"/>
    <x v="5"/>
    <x v="5"/>
    <x v="5"/>
    <x v="5"/>
    <x v="2"/>
    <x v="5"/>
    <x v="5"/>
    <x v="5"/>
    <x v="4"/>
    <x v="5"/>
    <x v="5"/>
    <x v="1"/>
  </r>
  <r>
    <x v="10"/>
    <x v="6"/>
    <x v="4"/>
    <x v="2"/>
    <x v="6"/>
    <x v="6"/>
    <x v="6"/>
    <x v="6"/>
    <x v="5"/>
    <x v="6"/>
    <x v="6"/>
    <x v="5"/>
    <x v="0"/>
    <x v="4"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4:J16" firstHeaderRow="0" firstDataRow="1" firstDataCol="1" rowPageCount="1" colPageCount="1"/>
  <pivotFields count="16">
    <pivotField axis="axisRow" compact="0" multipleItemSelectionAllowed="1" showAll="0">
      <items count="12">
        <item x="3"/>
        <item x="4"/>
        <item x="0"/>
        <item x="1"/>
        <item x="2"/>
        <item x="5"/>
        <item x="6"/>
        <item x="7"/>
        <item x="8"/>
        <item x="9"/>
        <item x="10"/>
        <item t="default"/>
      </items>
    </pivotField>
    <pivotField compact="0" showAll="0">
      <items count="8">
        <item x="1"/>
        <item x="0"/>
        <item x="2"/>
        <item x="3"/>
        <item x="4"/>
        <item x="5"/>
        <item x="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multipleItemSelectionAllowed="1" showAll="0">
      <items count="4">
        <item x="0"/>
        <item h="1" x="2"/>
        <item h="1" x="1"/>
        <item t="default"/>
      </items>
    </pivotField>
    <pivotField dataField="1" compact="0" showAll="0">
      <items count="9">
        <item x="2"/>
        <item x="3"/>
        <item x="4"/>
        <item x="1"/>
        <item x="0"/>
        <item x="5"/>
        <item x="6"/>
        <item x="7"/>
        <item t="default"/>
      </items>
    </pivotField>
    <pivotField dataField="1" compact="0" showAll="0">
      <items count="8">
        <item x="2"/>
        <item x="3"/>
        <item x="4"/>
        <item x="1"/>
        <item x="0"/>
        <item x="5"/>
        <item x="6"/>
        <item t="default"/>
      </items>
    </pivotField>
    <pivotField dataField="1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9">
        <item x="0"/>
        <item x="2"/>
        <item x="3"/>
        <item x="4"/>
        <item x="1"/>
        <item x="5"/>
        <item x="6"/>
        <item x="7"/>
        <item t="default"/>
      </items>
    </pivotField>
    <pivotField dataField="1" compact="0" showAll="0">
      <items count="8">
        <item x="0"/>
        <item x="2"/>
        <item x="3"/>
        <item x="4"/>
        <item x="1"/>
        <item x="5"/>
        <item x="6"/>
        <item t="default"/>
      </items>
    </pivotField>
    <pivotField dataField="1" compact="0" showAll="0">
      <items count="8">
        <item x="2"/>
        <item x="3"/>
        <item x="4"/>
        <item x="1"/>
        <item x="0"/>
        <item x="5"/>
        <item x="6"/>
        <item t="default"/>
      </items>
    </pivotField>
    <pivotField dataField="1" compact="0" showAll="0">
      <items count="9">
        <item x="2"/>
        <item x="3"/>
        <item x="4"/>
        <item x="1"/>
        <item x="0"/>
        <item x="5"/>
        <item x="6"/>
        <item x="7"/>
        <item t="default"/>
      </items>
    </pivotField>
    <pivotField dataField="1" compact="0" showAll="0">
      <items count="7">
        <item x="2"/>
        <item x="3"/>
        <item x="4"/>
        <item x="1"/>
        <item x="0"/>
        <item x="5"/>
        <item t="default"/>
      </items>
    </pivotField>
    <pivotField dataField="1" compact="0" showAll="0">
      <items count="6">
        <item x="2"/>
        <item x="1"/>
        <item x="3"/>
        <item x="0"/>
        <item x="4"/>
        <item t="default"/>
      </items>
    </pivotField>
    <pivotField compact="0" showAll="0">
      <items count="8">
        <item x="2"/>
        <item x="3"/>
        <item x="4"/>
        <item x="1"/>
        <item x="0"/>
        <item x="5"/>
        <item x="6"/>
        <item t="default"/>
      </items>
    </pivotField>
    <pivotField compact="0" multipleItemSelectionAllowed="1" numFmtId="10" showAll="0">
      <items count="10">
        <item m="1" x="7"/>
        <item x="2"/>
        <item x="3"/>
        <item x="4"/>
        <item m="1" x="8"/>
        <item x="1"/>
        <item x="0"/>
        <item x="5"/>
        <item x="6"/>
        <item t="default"/>
      </items>
    </pivotField>
    <pivotField axis="axisPage" compact="0" multipleItemSelectionAllowed="1" showAll="0">
      <items count="3">
        <item x="0"/>
        <item x="1"/>
        <item t="default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15"/>
  </pageFields>
  <dataFields count="9">
    <dataField name="Sum of Marathi" fld="6" baseField="0" baseItem="0"/>
    <dataField name="Sum of Sci-1" fld="7" baseField="0" baseItem="0"/>
    <dataField name="Sum of Hindi" fld="5" baseField="0" baseItem="0"/>
    <dataField name="Sum of Sci-2" fld="8" baseField="0" baseItem="0"/>
    <dataField name="Sum of CHEM" fld="11" baseField="0" baseItem="0"/>
    <dataField name="Sum of PHY" fld="12" baseField="0" baseItem="0"/>
    <dataField name="Sum of M2" fld="10" baseField="0" baseItem="0"/>
    <dataField name="Sum of M1" fld="9" baseField="0" baseItem="0"/>
    <dataField name="Sum of English" fld="4" baseField="0" baseItem="0"/>
  </dataFields>
  <formats count="2">
    <format dxfId="0">
      <pivotArea type="all" dataOnly="0" outline="0" fieldPosition="0"/>
    </format>
    <format dxfId="1">
      <pivotArea type="all" dataOnly="0" outline="0" fieldPosition="0"/>
    </format>
  </formats>
  <pivotTableStyleInfo name="PivotStylePreset5_Accent2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Name2" sourceName="Name">
  <pivotTables>
    <pivotTable tabId="3" name="PivotTable5"/>
  </pivotTables>
  <data>
    <tabular pivotCacheId="1">
      <items count="11">
        <i x="3" s="1"/>
        <i x="4" s="1"/>
        <i x="0" s="1"/>
        <i x="5" s="1"/>
        <i x="9" s="1"/>
        <i x="10" s="1"/>
        <i x="6" s="1"/>
        <i x="8" s="1"/>
        <i x="1" s="1"/>
        <i x="7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ER" sourceName="PER">
  <pivotTables>
    <pivotTable tabId="3" name="PivotTable5"/>
  </pivotTables>
  <data>
    <tabular pivotCacheId="1">
      <items count="9">
        <i x="6" s="1"/>
        <i x="0" s="1"/>
        <i x="2" s="1"/>
        <i x="5" s="1"/>
        <i x="3" s="1"/>
        <i x="4" s="1"/>
        <i x="1" s="1"/>
        <i x="7" s="1" nd="1"/>
        <i x="8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Name 2" cache="Slicer_Name2" caption="Name" style="SlicerStyleLight4" rowHeight="225425"/>
  <slicer name="PER" cache="Slicer_PER" caption="PER" style="SlicerStyleLight4" rowHeight="225425"/>
</slicers>
</file>

<file path=xl/tables/table1.xml><?xml version="1.0" encoding="utf-8"?>
<table xmlns="http://schemas.openxmlformats.org/spreadsheetml/2006/main" id="4" name="Table4" displayName="Table4" ref="B3:Q14" totalsRowShown="0">
  <autoFilter xmlns:etc="http://www.wps.cn/officeDocument/2017/etCustomData" ref="B3:Q14" etc:filterBottomFollowUsedRange="0"/>
  <tableColumns count="16">
    <tableColumn id="1" name="F_Name" dataDxfId="2"/>
    <tableColumn id="2" name="Fathers Name" dataDxfId="3"/>
    <tableColumn id="3" name="Surname" dataDxfId="4"/>
    <tableColumn id="9" name="Std" dataDxfId="5"/>
    <tableColumn id="4" name="English" dataDxfId="6"/>
    <tableColumn id="5" name="Hindi" dataDxfId="7"/>
    <tableColumn id="6" name="Marathi" dataDxfId="8"/>
    <tableColumn id="7" name="Sci-1" dataDxfId="9"/>
    <tableColumn id="8" name="Sci-2" dataDxfId="10"/>
    <tableColumn id="10" name="M1" dataDxfId="11"/>
    <tableColumn id="11" name="M2" dataDxfId="12"/>
    <tableColumn id="12" name="CHEM" dataDxfId="13"/>
    <tableColumn id="13" name="PHY" dataDxfId="14"/>
    <tableColumn id="14" name="SUM" dataDxfId="15">
      <calculatedColumnFormula>SUM(F4:N4)</calculatedColumnFormula>
    </tableColumn>
    <tableColumn id="15" name="PER" dataDxfId="16">
      <calculatedColumnFormula>O4/270</calculatedColumnFormula>
    </tableColumn>
    <tableColumn id="16" name="RESULT" dataDxfId="17">
      <calculatedColumnFormula>IF(P4&gt;35%,"Pass","Fail")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16"/>
  <sheetViews>
    <sheetView tabSelected="1" topLeftCell="A31" workbookViewId="0">
      <selection activeCell="B2" sqref="B2 B5:J16"/>
      <pivotSelection pane="bottomRight" showHeader="1" extendable="1" axis="axisPage" activeRow="1" activeCol="1" previousRow="1" previousCol="1" click="1" r:id="rId1">
        <pivotArea dataOnly="0" outline="0" fieldPosition="0">
          <references count="1">
            <reference field="15" count="0"/>
          </references>
        </pivotArea>
      </pivotSelection>
    </sheetView>
  </sheetViews>
  <sheetFormatPr defaultColWidth="9.14285714285714" defaultRowHeight="15"/>
  <cols>
    <col min="1" max="1" width="12.1428571428571"/>
    <col min="2" max="11" width="15.5714285714286"/>
  </cols>
  <sheetData>
    <row r="2" spans="1:2">
      <c r="A2" s="23" t="s">
        <v>0</v>
      </c>
      <c r="B2" s="23" t="s">
        <v>1</v>
      </c>
    </row>
    <row r="4" spans="1:10">
      <c r="A4" s="23" t="s">
        <v>2</v>
      </c>
      <c r="B4" s="23" t="s">
        <v>3</v>
      </c>
      <c r="C4" s="23" t="s">
        <v>4</v>
      </c>
      <c r="D4" s="23" t="s">
        <v>5</v>
      </c>
      <c r="E4" s="23" t="s">
        <v>6</v>
      </c>
      <c r="F4" s="23" t="s">
        <v>7</v>
      </c>
      <c r="G4" s="23" t="s">
        <v>8</v>
      </c>
      <c r="H4" s="23" t="s">
        <v>9</v>
      </c>
      <c r="I4" s="23" t="s">
        <v>10</v>
      </c>
      <c r="J4" s="23" t="s">
        <v>11</v>
      </c>
    </row>
    <row r="5" spans="1:10">
      <c r="A5" s="23" t="s">
        <v>12</v>
      </c>
      <c r="B5" s="23">
        <v>17</v>
      </c>
      <c r="C5" s="23">
        <v>18</v>
      </c>
      <c r="D5" s="23">
        <v>16</v>
      </c>
      <c r="E5" s="23">
        <v>19</v>
      </c>
      <c r="F5" s="23">
        <v>16</v>
      </c>
      <c r="G5" s="23">
        <v>23</v>
      </c>
      <c r="H5" s="23">
        <v>16</v>
      </c>
      <c r="I5" s="23">
        <v>15</v>
      </c>
      <c r="J5" s="23">
        <v>15</v>
      </c>
    </row>
    <row r="6" spans="1:10">
      <c r="A6" s="23" t="s">
        <v>13</v>
      </c>
      <c r="B6" s="23">
        <v>18</v>
      </c>
      <c r="C6" s="23">
        <v>19</v>
      </c>
      <c r="D6" s="23">
        <v>17</v>
      </c>
      <c r="E6" s="23">
        <v>20</v>
      </c>
      <c r="F6" s="23">
        <v>17</v>
      </c>
      <c r="G6" s="23">
        <v>24</v>
      </c>
      <c r="H6" s="23">
        <v>17</v>
      </c>
      <c r="I6" s="23">
        <v>16</v>
      </c>
      <c r="J6" s="23">
        <v>16</v>
      </c>
    </row>
    <row r="7" spans="1:10">
      <c r="A7" s="23" t="s">
        <v>14</v>
      </c>
      <c r="B7" s="23">
        <v>14</v>
      </c>
      <c r="C7" s="23">
        <v>15</v>
      </c>
      <c r="D7" s="23">
        <v>11</v>
      </c>
      <c r="E7" s="23">
        <v>17</v>
      </c>
      <c r="F7" s="23">
        <v>3</v>
      </c>
      <c r="G7" s="23">
        <v>12</v>
      </c>
      <c r="H7" s="23">
        <v>8</v>
      </c>
      <c r="I7" s="23">
        <v>5</v>
      </c>
      <c r="J7" s="23">
        <v>9</v>
      </c>
    </row>
    <row r="8" spans="1:10">
      <c r="A8" s="23" t="s">
        <v>15</v>
      </c>
      <c r="B8" s="23">
        <v>15</v>
      </c>
      <c r="C8" s="23">
        <v>30</v>
      </c>
      <c r="D8" s="23">
        <v>23</v>
      </c>
      <c r="E8" s="23">
        <v>27</v>
      </c>
      <c r="F8" s="23">
        <v>22</v>
      </c>
      <c r="G8" s="23">
        <v>23</v>
      </c>
      <c r="H8" s="23">
        <v>28</v>
      </c>
      <c r="I8" s="23">
        <v>26</v>
      </c>
      <c r="J8" s="23">
        <v>26</v>
      </c>
    </row>
    <row r="9" spans="1:10">
      <c r="A9" s="23" t="s">
        <v>16</v>
      </c>
      <c r="B9" s="23">
        <v>16</v>
      </c>
      <c r="C9" s="23">
        <v>17</v>
      </c>
      <c r="D9" s="23">
        <v>15</v>
      </c>
      <c r="E9" s="23">
        <v>18</v>
      </c>
      <c r="F9" s="23">
        <v>15</v>
      </c>
      <c r="G9" s="23">
        <v>22</v>
      </c>
      <c r="H9" s="23">
        <v>15</v>
      </c>
      <c r="I9" s="23">
        <v>14</v>
      </c>
      <c r="J9" s="23">
        <v>14</v>
      </c>
    </row>
    <row r="10" spans="1:10">
      <c r="A10" s="23" t="s">
        <v>17</v>
      </c>
      <c r="B10" s="23">
        <v>19</v>
      </c>
      <c r="C10" s="23">
        <v>21</v>
      </c>
      <c r="D10" s="23">
        <v>22</v>
      </c>
      <c r="E10" s="23">
        <v>18</v>
      </c>
      <c r="F10" s="23">
        <v>11</v>
      </c>
      <c r="G10" s="23">
        <v>11</v>
      </c>
      <c r="H10" s="23">
        <v>13</v>
      </c>
      <c r="I10" s="23">
        <v>12</v>
      </c>
      <c r="J10" s="23">
        <v>21</v>
      </c>
    </row>
    <row r="11" spans="1:10">
      <c r="A11" s="23" t="s">
        <v>18</v>
      </c>
      <c r="B11" s="23">
        <v>22</v>
      </c>
      <c r="C11" s="23">
        <v>12</v>
      </c>
      <c r="D11" s="23">
        <v>21</v>
      </c>
      <c r="E11" s="23">
        <v>22</v>
      </c>
      <c r="F11" s="23">
        <v>11</v>
      </c>
      <c r="G11" s="23">
        <v>12</v>
      </c>
      <c r="H11" s="23">
        <v>23</v>
      </c>
      <c r="I11" s="23">
        <v>23</v>
      </c>
      <c r="J11" s="23">
        <v>18</v>
      </c>
    </row>
    <row r="12" spans="1:10">
      <c r="A12" s="23" t="s">
        <v>19</v>
      </c>
      <c r="B12" s="23">
        <v>19</v>
      </c>
      <c r="C12" s="23">
        <v>11</v>
      </c>
      <c r="D12" s="23">
        <v>11</v>
      </c>
      <c r="E12" s="23">
        <v>9</v>
      </c>
      <c r="F12" s="23">
        <v>3</v>
      </c>
      <c r="G12" s="23">
        <v>11</v>
      </c>
      <c r="H12" s="23">
        <v>6</v>
      </c>
      <c r="I12" s="23">
        <v>5</v>
      </c>
      <c r="J12" s="23">
        <v>12</v>
      </c>
    </row>
    <row r="13" spans="1:10">
      <c r="A13" s="23" t="s">
        <v>20</v>
      </c>
      <c r="B13" s="23">
        <v>22</v>
      </c>
      <c r="C13" s="23">
        <v>12</v>
      </c>
      <c r="D13" s="23">
        <v>21</v>
      </c>
      <c r="E13" s="23">
        <v>22</v>
      </c>
      <c r="F13" s="23">
        <v>11</v>
      </c>
      <c r="G13" s="23">
        <v>12</v>
      </c>
      <c r="H13" s="23">
        <v>23</v>
      </c>
      <c r="I13" s="23">
        <v>23</v>
      </c>
      <c r="J13" s="23">
        <v>18</v>
      </c>
    </row>
    <row r="14" spans="1:10">
      <c r="A14" s="23" t="s">
        <v>21</v>
      </c>
      <c r="B14" s="23">
        <v>19</v>
      </c>
      <c r="C14" s="23">
        <v>21</v>
      </c>
      <c r="D14" s="23">
        <v>22</v>
      </c>
      <c r="E14" s="23">
        <v>18</v>
      </c>
      <c r="F14" s="23">
        <v>11</v>
      </c>
      <c r="G14" s="23">
        <v>11</v>
      </c>
      <c r="H14" s="23">
        <v>13</v>
      </c>
      <c r="I14" s="23">
        <v>12</v>
      </c>
      <c r="J14" s="23">
        <v>21</v>
      </c>
    </row>
    <row r="15" spans="1:10">
      <c r="A15" s="23" t="s">
        <v>22</v>
      </c>
      <c r="B15" s="23">
        <v>22</v>
      </c>
      <c r="C15" s="23">
        <v>12</v>
      </c>
      <c r="D15" s="23">
        <v>21</v>
      </c>
      <c r="E15" s="23">
        <v>22</v>
      </c>
      <c r="F15" s="23">
        <v>11</v>
      </c>
      <c r="G15" s="23">
        <v>12</v>
      </c>
      <c r="H15" s="23">
        <v>23</v>
      </c>
      <c r="I15" s="23">
        <v>23</v>
      </c>
      <c r="J15" s="23">
        <v>18</v>
      </c>
    </row>
    <row r="16" spans="1:10">
      <c r="A16" s="23" t="s">
        <v>23</v>
      </c>
      <c r="B16" s="23">
        <v>203</v>
      </c>
      <c r="C16" s="23">
        <v>188</v>
      </c>
      <c r="D16" s="23">
        <v>200</v>
      </c>
      <c r="E16" s="23">
        <v>212</v>
      </c>
      <c r="F16" s="23">
        <v>131</v>
      </c>
      <c r="G16" s="23">
        <v>173</v>
      </c>
      <c r="H16" s="23">
        <v>185</v>
      </c>
      <c r="I16" s="23">
        <v>174</v>
      </c>
      <c r="J16" s="23">
        <v>188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zoomScale="97" zoomScaleNormal="97" workbookViewId="0">
      <selection activeCell="C9" sqref="C9"/>
    </sheetView>
  </sheetViews>
  <sheetFormatPr defaultColWidth="9.14285714285714" defaultRowHeight="15"/>
  <cols>
    <col min="1" max="1" width="8" customWidth="1"/>
    <col min="2" max="2" width="10.8571428571429" customWidth="1"/>
    <col min="3" max="3" width="18" customWidth="1"/>
    <col min="4" max="4" width="11.7142857142857" customWidth="1"/>
    <col min="5" max="5" width="5.42857142857143" customWidth="1"/>
    <col min="6" max="6" width="9.85714285714286" customWidth="1"/>
    <col min="7" max="7" width="7.85714285714286" customWidth="1"/>
    <col min="8" max="8" width="11" customWidth="1"/>
    <col min="9" max="9" width="7" customWidth="1"/>
    <col min="10" max="10" width="10.6" customWidth="1"/>
    <col min="11" max="12" width="5.57142857142857" customWidth="1"/>
    <col min="13" max="13" width="9" customWidth="1"/>
    <col min="14" max="14" width="7.14285714285714" customWidth="1"/>
    <col min="15" max="15" width="7" customWidth="1"/>
    <col min="16" max="16" width="7.71428571428571" customWidth="1"/>
    <col min="17" max="17" width="11.4285714285714" customWidth="1"/>
  </cols>
  <sheetData>
    <row r="1" ht="26" customHeight="1" spans="1:17">
      <c r="A1" s="1"/>
      <c r="B1" s="1"/>
      <c r="C1" s="1"/>
      <c r="D1" s="1"/>
      <c r="E1" s="2" t="s">
        <v>24</v>
      </c>
      <c r="F1" s="2"/>
      <c r="G1" s="2"/>
      <c r="H1" s="2"/>
      <c r="I1" s="2"/>
      <c r="J1" s="15"/>
      <c r="K1" s="16"/>
      <c r="L1" s="16"/>
      <c r="M1" s="16"/>
      <c r="N1" s="16"/>
      <c r="O1" s="16"/>
      <c r="P1" s="16"/>
      <c r="Q1" s="16"/>
    </row>
    <row r="2" ht="22" customHeight="1" spans="1:17">
      <c r="A2" s="1"/>
      <c r="B2" s="1"/>
      <c r="C2" s="1"/>
      <c r="D2" s="1"/>
      <c r="E2" s="2"/>
      <c r="F2" s="2"/>
      <c r="G2" s="2"/>
      <c r="H2" s="2"/>
      <c r="I2" s="2"/>
      <c r="J2" s="15"/>
      <c r="K2" s="16"/>
      <c r="L2" s="16"/>
      <c r="M2" s="16"/>
      <c r="N2" s="16"/>
      <c r="O2" s="16"/>
      <c r="P2" s="16"/>
      <c r="Q2" s="16"/>
    </row>
    <row r="3" ht="16" customHeight="1" spans="1:17">
      <c r="A3" s="3" t="s">
        <v>25</v>
      </c>
      <c r="B3" s="3" t="s">
        <v>26</v>
      </c>
      <c r="C3" s="3" t="s">
        <v>27</v>
      </c>
      <c r="D3" s="3" t="s">
        <v>28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39</v>
      </c>
      <c r="P3" s="3" t="s">
        <v>40</v>
      </c>
      <c r="Q3" s="3" t="s">
        <v>0</v>
      </c>
    </row>
    <row r="4" spans="1:17">
      <c r="A4" s="5">
        <v>1</v>
      </c>
      <c r="B4" s="5" t="s">
        <v>14</v>
      </c>
      <c r="C4" s="6" t="s">
        <v>41</v>
      </c>
      <c r="D4" s="6" t="s">
        <v>42</v>
      </c>
      <c r="E4" s="7" t="s">
        <v>43</v>
      </c>
      <c r="F4" s="8">
        <v>9</v>
      </c>
      <c r="G4" s="9">
        <v>11</v>
      </c>
      <c r="H4" s="9">
        <v>14</v>
      </c>
      <c r="I4" s="9">
        <v>15</v>
      </c>
      <c r="J4" s="9">
        <v>17</v>
      </c>
      <c r="K4" s="17">
        <v>5</v>
      </c>
      <c r="L4" s="17">
        <v>8</v>
      </c>
      <c r="M4" s="17">
        <v>3</v>
      </c>
      <c r="N4" s="17">
        <v>12</v>
      </c>
      <c r="O4" s="17">
        <f t="shared" ref="O4:O16" si="0">SUM(F4:N4)</f>
        <v>94</v>
      </c>
      <c r="P4" s="18">
        <f t="shared" ref="P4:P16" si="1">O4/270</f>
        <v>0.348148148148148</v>
      </c>
      <c r="Q4" s="18" t="s">
        <v>44</v>
      </c>
    </row>
    <row r="5" spans="1:17">
      <c r="A5" s="5">
        <v>2</v>
      </c>
      <c r="B5" s="5" t="s">
        <v>15</v>
      </c>
      <c r="C5" s="6" t="s">
        <v>41</v>
      </c>
      <c r="D5" s="6" t="s">
        <v>42</v>
      </c>
      <c r="E5" s="7" t="s">
        <v>45</v>
      </c>
      <c r="F5" s="8">
        <v>26</v>
      </c>
      <c r="G5" s="9">
        <v>23</v>
      </c>
      <c r="H5" s="9">
        <v>15</v>
      </c>
      <c r="I5" s="9">
        <v>30</v>
      </c>
      <c r="J5" s="9">
        <v>27</v>
      </c>
      <c r="K5" s="17">
        <v>26</v>
      </c>
      <c r="L5" s="17">
        <v>28</v>
      </c>
      <c r="M5" s="17">
        <v>22</v>
      </c>
      <c r="N5" s="17">
        <v>23</v>
      </c>
      <c r="O5" s="17">
        <f t="shared" si="0"/>
        <v>220</v>
      </c>
      <c r="P5" s="18">
        <f t="shared" si="1"/>
        <v>0.814814814814815</v>
      </c>
      <c r="Q5" s="18" t="s">
        <v>46</v>
      </c>
    </row>
    <row r="6" spans="1:17">
      <c r="A6" s="5">
        <v>3</v>
      </c>
      <c r="B6" s="5" t="s">
        <v>16</v>
      </c>
      <c r="C6" s="6" t="s">
        <v>41</v>
      </c>
      <c r="D6" s="6" t="s">
        <v>42</v>
      </c>
      <c r="E6" s="7" t="s">
        <v>47</v>
      </c>
      <c r="F6" s="8">
        <v>14</v>
      </c>
      <c r="G6" s="9">
        <v>15</v>
      </c>
      <c r="H6" s="9">
        <v>16</v>
      </c>
      <c r="I6" s="9">
        <v>17</v>
      </c>
      <c r="J6" s="9">
        <v>18</v>
      </c>
      <c r="K6" s="17">
        <v>14</v>
      </c>
      <c r="L6" s="17">
        <v>15</v>
      </c>
      <c r="M6" s="17">
        <v>15</v>
      </c>
      <c r="N6" s="17">
        <v>22</v>
      </c>
      <c r="O6" s="17">
        <f t="shared" si="0"/>
        <v>146</v>
      </c>
      <c r="P6" s="18">
        <f t="shared" si="1"/>
        <v>0.540740740740741</v>
      </c>
      <c r="Q6" s="18" t="s">
        <v>46</v>
      </c>
    </row>
    <row r="7" spans="1:17">
      <c r="A7" s="5">
        <v>4</v>
      </c>
      <c r="B7" s="5" t="s">
        <v>12</v>
      </c>
      <c r="C7" s="6" t="s">
        <v>41</v>
      </c>
      <c r="D7" s="6" t="s">
        <v>42</v>
      </c>
      <c r="E7" s="7" t="s">
        <v>45</v>
      </c>
      <c r="F7" s="8">
        <v>15</v>
      </c>
      <c r="G7" s="9">
        <v>16</v>
      </c>
      <c r="H7" s="9">
        <v>17</v>
      </c>
      <c r="I7" s="9">
        <v>18</v>
      </c>
      <c r="J7" s="9">
        <v>19</v>
      </c>
      <c r="K7" s="17">
        <v>15</v>
      </c>
      <c r="L7" s="17">
        <v>16</v>
      </c>
      <c r="M7" s="17">
        <v>16</v>
      </c>
      <c r="N7" s="17">
        <v>23</v>
      </c>
      <c r="O7" s="17">
        <f t="shared" si="0"/>
        <v>155</v>
      </c>
      <c r="P7" s="18">
        <f t="shared" si="1"/>
        <v>0.574074074074074</v>
      </c>
      <c r="Q7" s="18" t="s">
        <v>46</v>
      </c>
    </row>
    <row r="8" spans="1:17">
      <c r="A8" s="5">
        <v>5</v>
      </c>
      <c r="B8" s="5" t="s">
        <v>13</v>
      </c>
      <c r="C8" s="6" t="s">
        <v>48</v>
      </c>
      <c r="D8" s="6" t="s">
        <v>42</v>
      </c>
      <c r="E8" s="7" t="s">
        <v>43</v>
      </c>
      <c r="F8" s="8">
        <v>16</v>
      </c>
      <c r="G8" s="9">
        <v>17</v>
      </c>
      <c r="H8" s="9">
        <v>18</v>
      </c>
      <c r="I8" s="9">
        <v>19</v>
      </c>
      <c r="J8" s="9">
        <v>20</v>
      </c>
      <c r="K8" s="17">
        <v>16</v>
      </c>
      <c r="L8" s="17">
        <v>17</v>
      </c>
      <c r="M8" s="17">
        <v>17</v>
      </c>
      <c r="N8" s="17">
        <v>24</v>
      </c>
      <c r="O8" s="17">
        <f t="shared" si="0"/>
        <v>164</v>
      </c>
      <c r="P8" s="18">
        <f t="shared" si="1"/>
        <v>0.607407407407407</v>
      </c>
      <c r="Q8" s="18" t="s">
        <v>46</v>
      </c>
    </row>
    <row r="9" spans="1:17">
      <c r="A9" s="10">
        <v>6</v>
      </c>
      <c r="B9" s="10" t="s">
        <v>17</v>
      </c>
      <c r="C9" s="11" t="s">
        <v>49</v>
      </c>
      <c r="D9" s="11" t="s">
        <v>50</v>
      </c>
      <c r="E9" s="12" t="s">
        <v>43</v>
      </c>
      <c r="F9" s="13">
        <v>21</v>
      </c>
      <c r="G9" s="14">
        <v>22</v>
      </c>
      <c r="H9" s="14">
        <v>19</v>
      </c>
      <c r="I9" s="14">
        <v>21</v>
      </c>
      <c r="J9" s="14">
        <v>18</v>
      </c>
      <c r="K9" s="13">
        <v>12</v>
      </c>
      <c r="L9" s="13">
        <v>13</v>
      </c>
      <c r="M9" s="13">
        <v>11</v>
      </c>
      <c r="N9" s="13">
        <v>11</v>
      </c>
      <c r="O9" s="13">
        <f t="shared" si="0"/>
        <v>148</v>
      </c>
      <c r="P9" s="19">
        <f t="shared" si="1"/>
        <v>0.548148148148148</v>
      </c>
      <c r="Q9" s="22" t="s">
        <v>46</v>
      </c>
    </row>
    <row r="10" spans="1:17">
      <c r="A10" s="10">
        <v>7</v>
      </c>
      <c r="B10" s="10" t="s">
        <v>18</v>
      </c>
      <c r="C10" s="11" t="s">
        <v>49</v>
      </c>
      <c r="D10" s="11" t="s">
        <v>50</v>
      </c>
      <c r="E10" s="12" t="s">
        <v>47</v>
      </c>
      <c r="F10" s="13">
        <v>18</v>
      </c>
      <c r="G10" s="14">
        <v>21</v>
      </c>
      <c r="H10" s="14">
        <v>22</v>
      </c>
      <c r="I10" s="14">
        <v>12</v>
      </c>
      <c r="J10" s="14">
        <v>22</v>
      </c>
      <c r="K10" s="13">
        <v>23</v>
      </c>
      <c r="L10" s="13">
        <v>23</v>
      </c>
      <c r="M10" s="13">
        <v>11</v>
      </c>
      <c r="N10" s="13">
        <v>12</v>
      </c>
      <c r="O10" s="13">
        <f t="shared" si="0"/>
        <v>164</v>
      </c>
      <c r="P10" s="19">
        <f t="shared" si="1"/>
        <v>0.607407407407407</v>
      </c>
      <c r="Q10" s="22" t="s">
        <v>46</v>
      </c>
    </row>
    <row r="11" spans="1:17">
      <c r="A11" s="10">
        <v>8</v>
      </c>
      <c r="B11" s="10" t="s">
        <v>19</v>
      </c>
      <c r="C11" s="11" t="s">
        <v>51</v>
      </c>
      <c r="D11" s="11" t="s">
        <v>52</v>
      </c>
      <c r="E11" s="12" t="s">
        <v>43</v>
      </c>
      <c r="F11" s="13">
        <v>12</v>
      </c>
      <c r="G11" s="14">
        <v>11</v>
      </c>
      <c r="H11" s="14">
        <v>19</v>
      </c>
      <c r="I11" s="14">
        <v>11</v>
      </c>
      <c r="J11" s="14">
        <v>9</v>
      </c>
      <c r="K11" s="13">
        <v>5</v>
      </c>
      <c r="L11" s="13">
        <v>6</v>
      </c>
      <c r="M11" s="13">
        <v>3</v>
      </c>
      <c r="N11" s="13">
        <v>11</v>
      </c>
      <c r="O11" s="13">
        <f t="shared" si="0"/>
        <v>87</v>
      </c>
      <c r="P11" s="19">
        <f t="shared" si="1"/>
        <v>0.322222222222222</v>
      </c>
      <c r="Q11" s="22" t="s">
        <v>44</v>
      </c>
    </row>
    <row r="12" spans="1:17">
      <c r="A12" s="10">
        <v>9</v>
      </c>
      <c r="B12" s="10" t="s">
        <v>20</v>
      </c>
      <c r="C12" s="11" t="s">
        <v>53</v>
      </c>
      <c r="D12" s="11" t="s">
        <v>50</v>
      </c>
      <c r="E12" s="12" t="s">
        <v>47</v>
      </c>
      <c r="F12" s="13">
        <v>18</v>
      </c>
      <c r="G12" s="14">
        <v>21</v>
      </c>
      <c r="H12" s="14">
        <v>22</v>
      </c>
      <c r="I12" s="14">
        <v>12</v>
      </c>
      <c r="J12" s="14">
        <v>22</v>
      </c>
      <c r="K12" s="13">
        <v>23</v>
      </c>
      <c r="L12" s="13">
        <v>23</v>
      </c>
      <c r="M12" s="13">
        <v>11</v>
      </c>
      <c r="N12" s="13">
        <v>12</v>
      </c>
      <c r="O12" s="13">
        <f t="shared" si="0"/>
        <v>164</v>
      </c>
      <c r="P12" s="19">
        <f t="shared" si="1"/>
        <v>0.607407407407407</v>
      </c>
      <c r="Q12" s="22" t="s">
        <v>46</v>
      </c>
    </row>
    <row r="13" spans="1:17">
      <c r="A13" s="10">
        <v>10</v>
      </c>
      <c r="B13" s="10" t="s">
        <v>21</v>
      </c>
      <c r="C13" s="11" t="s">
        <v>54</v>
      </c>
      <c r="D13" s="11" t="s">
        <v>55</v>
      </c>
      <c r="E13" s="12" t="s">
        <v>43</v>
      </c>
      <c r="F13" s="13">
        <v>21</v>
      </c>
      <c r="G13" s="14">
        <v>22</v>
      </c>
      <c r="H13" s="14">
        <v>19</v>
      </c>
      <c r="I13" s="14">
        <v>21</v>
      </c>
      <c r="J13" s="14">
        <v>18</v>
      </c>
      <c r="K13" s="13">
        <v>12</v>
      </c>
      <c r="L13" s="13">
        <v>13</v>
      </c>
      <c r="M13" s="13">
        <v>11</v>
      </c>
      <c r="N13" s="13">
        <v>11</v>
      </c>
      <c r="O13" s="13">
        <f t="shared" si="0"/>
        <v>148</v>
      </c>
      <c r="P13" s="19">
        <f t="shared" si="1"/>
        <v>0.548148148148148</v>
      </c>
      <c r="Q13" s="22" t="s">
        <v>46</v>
      </c>
    </row>
    <row r="14" spans="1:17">
      <c r="A14" s="10">
        <v>11</v>
      </c>
      <c r="B14" s="10" t="s">
        <v>22</v>
      </c>
      <c r="C14" s="11" t="s">
        <v>56</v>
      </c>
      <c r="D14" s="11" t="s">
        <v>57</v>
      </c>
      <c r="E14" s="12" t="s">
        <v>47</v>
      </c>
      <c r="F14" s="13">
        <v>18</v>
      </c>
      <c r="G14" s="14">
        <v>21</v>
      </c>
      <c r="H14" s="14">
        <v>22</v>
      </c>
      <c r="I14" s="14">
        <v>12</v>
      </c>
      <c r="J14" s="14">
        <v>22</v>
      </c>
      <c r="K14" s="13">
        <v>23</v>
      </c>
      <c r="L14" s="13">
        <v>23</v>
      </c>
      <c r="M14" s="13">
        <v>11</v>
      </c>
      <c r="N14" s="13">
        <v>12</v>
      </c>
      <c r="O14" s="13">
        <f t="shared" si="0"/>
        <v>164</v>
      </c>
      <c r="P14" s="19">
        <f t="shared" si="1"/>
        <v>0.607407407407407</v>
      </c>
      <c r="Q14" s="22" t="s">
        <v>46</v>
      </c>
    </row>
    <row r="15" spans="1:17">
      <c r="A15" s="10">
        <v>12</v>
      </c>
      <c r="B15" s="10" t="s">
        <v>21</v>
      </c>
      <c r="C15" s="11" t="s">
        <v>54</v>
      </c>
      <c r="D15" s="11" t="s">
        <v>55</v>
      </c>
      <c r="E15" s="12" t="s">
        <v>43</v>
      </c>
      <c r="F15" s="13">
        <v>21</v>
      </c>
      <c r="G15" s="14">
        <v>22</v>
      </c>
      <c r="H15" s="14">
        <v>19</v>
      </c>
      <c r="I15" s="14">
        <v>21</v>
      </c>
      <c r="J15" s="14">
        <v>18</v>
      </c>
      <c r="K15" s="13">
        <v>12</v>
      </c>
      <c r="L15" s="13">
        <v>13</v>
      </c>
      <c r="M15" s="13">
        <v>11</v>
      </c>
      <c r="N15" s="13">
        <v>11</v>
      </c>
      <c r="O15" s="13">
        <f t="shared" si="0"/>
        <v>148</v>
      </c>
      <c r="P15" s="19">
        <f t="shared" si="1"/>
        <v>0.548148148148148</v>
      </c>
      <c r="Q15" s="22" t="str">
        <f>IF(P15&gt;35%,"Pass","Fail")</f>
        <v>Pass</v>
      </c>
    </row>
    <row r="16" spans="1:17">
      <c r="A16" s="10">
        <v>13</v>
      </c>
      <c r="B16" s="10" t="s">
        <v>22</v>
      </c>
      <c r="C16" s="11" t="s">
        <v>56</v>
      </c>
      <c r="D16" s="11" t="s">
        <v>57</v>
      </c>
      <c r="E16" s="12" t="s">
        <v>47</v>
      </c>
      <c r="F16" s="13">
        <v>18</v>
      </c>
      <c r="G16" s="14">
        <v>21</v>
      </c>
      <c r="H16" s="14">
        <v>22</v>
      </c>
      <c r="I16" s="14">
        <v>12</v>
      </c>
      <c r="J16" s="14">
        <v>22</v>
      </c>
      <c r="K16" s="13">
        <v>23</v>
      </c>
      <c r="L16" s="13">
        <v>23</v>
      </c>
      <c r="M16" s="13">
        <v>11</v>
      </c>
      <c r="N16" s="13">
        <v>12</v>
      </c>
      <c r="O16" s="13">
        <f t="shared" si="0"/>
        <v>164</v>
      </c>
      <c r="P16" s="19">
        <f t="shared" si="1"/>
        <v>0.607407407407407</v>
      </c>
      <c r="Q16" s="22" t="str">
        <f>IF(P16&gt;35%,"Pass","Fail")</f>
        <v>Pass</v>
      </c>
    </row>
    <row r="17" spans="13:13">
      <c r="M17" s="20"/>
    </row>
    <row r="18" spans="13:13">
      <c r="M18" s="20"/>
    </row>
    <row r="19" spans="13:13">
      <c r="M19" s="20"/>
    </row>
    <row r="20" spans="13:13">
      <c r="M20" s="21"/>
    </row>
  </sheetData>
  <mergeCells count="3">
    <mergeCell ref="E1:J2"/>
    <mergeCell ref="K1:Q2"/>
    <mergeCell ref="A1:D2"/>
  </mergeCells>
  <conditionalFormatting sqref="G4:G14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{c46c2f22-e982-457b-9ee9-b99f12523042}</x14:id>
        </ext>
      </extLst>
    </cfRule>
  </conditionalFormatting>
  <conditionalFormatting sqref="G11:G12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{e6fd83c0-8f46-433f-b6ba-890513fbabf8}</x14:id>
        </ext>
      </extLst>
    </cfRule>
  </conditionalFormatting>
  <conditionalFormatting sqref="G13:G1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{71c8bc02-20b0-4efd-b4d0-af7c7ab2bde7}</x14:id>
        </ext>
      </extLst>
    </cfRule>
  </conditionalFormatting>
  <conditionalFormatting sqref="G15:G1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{18ddaf55-4a7c-4321-ac4d-ed2f39ad187d}</x14:id>
        </ext>
      </extLst>
    </cfRule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{403a385a-de96-4974-b53f-d7d24a2d81e9}</x14:id>
        </ext>
      </extLst>
    </cfRule>
  </conditionalFormatting>
  <conditionalFormatting sqref="H4:H14"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{7ec01e16-6c9b-4e7a-b69d-fd8abb463120}</x14:id>
        </ext>
      </extLst>
    </cfRule>
  </conditionalFormatting>
  <conditionalFormatting sqref="H11:H12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{5de156e8-6185-4701-9091-5fb89403a3ee}</x14:id>
        </ext>
      </extLst>
    </cfRule>
  </conditionalFormatting>
  <conditionalFormatting sqref="H13:H14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{973a9e50-b388-4619-97f9-42d9a5d481c8}</x14:id>
        </ext>
      </extLst>
    </cfRule>
  </conditionalFormatting>
  <conditionalFormatting sqref="H15:H16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{c1da3ffc-7e07-493b-98d7-2d38f447fb0c}</x14:id>
        </ext>
      </extLst>
    </cfRule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{111ef2a5-0243-4d83-8405-e49738949d89}</x14:id>
        </ext>
      </extLst>
    </cfRule>
  </conditionalFormatting>
  <conditionalFormatting sqref="I4:I14">
    <cfRule type="dataBar" priority="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{d5e63e90-1c41-4e59-b05b-4b73f039fd77}</x14:id>
        </ext>
      </extLst>
    </cfRule>
  </conditionalFormatting>
  <conditionalFormatting sqref="I11:I12">
    <cfRule type="dataBar" priority="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{db90e631-6e3f-44e5-ab21-0e6aef5848fc}</x14:id>
        </ext>
      </extLst>
    </cfRule>
  </conditionalFormatting>
  <conditionalFormatting sqref="I13:I14">
    <cfRule type="dataBar" priority="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{194cd90f-a449-4b9b-b516-928cb7bad08e}</x14:id>
        </ext>
      </extLst>
    </cfRule>
  </conditionalFormatting>
  <conditionalFormatting sqref="I15:I16">
    <cfRule type="dataBar" priority="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{d3796394-505a-48e2-935b-3baa4aa558db}</x14:id>
        </ext>
      </extLst>
    </cfRule>
    <cfRule type="dataBar" priority="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{4ba1d285-8b0b-4549-878e-15bc439d7c23}</x14:id>
        </ext>
      </extLst>
    </cfRule>
  </conditionalFormatting>
  <conditionalFormatting sqref="J4:J1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  <cfRule type="top10" priority="55" percent="1" rank="10"/>
  </conditionalFormatting>
  <conditionalFormatting sqref="J11:J12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  <cfRule type="top10" priority="41" percent="1" rank="10"/>
  </conditionalFormatting>
  <conditionalFormatting sqref="J13:J14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  <cfRule type="top10" priority="30" percent="1" rank="10"/>
  </conditionalFormatting>
  <conditionalFormatting sqref="J15:J1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top10" priority="8" percent="1" rank="10"/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top10" priority="19" percent="1" rank="10"/>
  </conditionalFormatting>
  <conditionalFormatting sqref="L4:L14">
    <cfRule type="iconSet" priority="52">
      <iconSet iconSet="3Arrows">
        <cfvo type="percent" val="0"/>
        <cfvo type="percent" val="33"/>
        <cfvo type="percent" val="67"/>
      </iconSet>
    </cfRule>
  </conditionalFormatting>
  <conditionalFormatting sqref="L11:L12">
    <cfRule type="iconSet" priority="38">
      <iconSet iconSet="3Arrows">
        <cfvo type="percent" val="0"/>
        <cfvo type="percent" val="33"/>
        <cfvo type="percent" val="67"/>
      </iconSet>
    </cfRule>
  </conditionalFormatting>
  <conditionalFormatting sqref="L13:L14">
    <cfRule type="iconSet" priority="27">
      <iconSet iconSet="3Arrows">
        <cfvo type="percent" val="0"/>
        <cfvo type="percent" val="33"/>
        <cfvo type="percent" val="67"/>
      </iconSet>
    </cfRule>
  </conditionalFormatting>
  <conditionalFormatting sqref="L15:L16">
    <cfRule type="iconSet" priority="5">
      <iconSet iconSet="3Arrows">
        <cfvo type="percent" val="0"/>
        <cfvo type="percent" val="33"/>
        <cfvo type="percent" val="67"/>
      </iconSet>
    </cfRule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M4:M14">
    <cfRule type="iconSet" priority="50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M11:M12">
    <cfRule type="iconSet" priority="37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M13:M14">
    <cfRule type="iconSet" priority="2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M15:M16">
    <cfRule type="iconSet" priority="4">
      <iconSet iconSet="4Rating">
        <cfvo type="percent" val="0"/>
        <cfvo type="percent" val="25"/>
        <cfvo type="percent" val="50"/>
        <cfvo type="percent" val="75"/>
      </iconSet>
    </cfRule>
    <cfRule type="iconSet" priority="1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O4:O14">
    <cfRule type="iconSet" priority="49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O11:O12">
    <cfRule type="iconSet" priority="36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O13:O14">
    <cfRule type="iconSet" priority="25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O15:O16">
    <cfRule type="iconSet" priority="3">
      <iconSet iconSet="5Quarters">
        <cfvo type="percent" val="0"/>
        <cfvo type="percent" val="20"/>
        <cfvo type="percent" val="40"/>
        <cfvo type="percent" val="60"/>
        <cfvo type="percent" val="80"/>
      </iconSet>
    </cfRule>
    <cfRule type="iconSet" priority="14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P4:P14">
    <cfRule type="dataBar" priority="4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{10d9a766-f5ec-4d02-a609-6b974956436a}</x14:id>
        </ext>
      </extLst>
    </cfRule>
  </conditionalFormatting>
  <conditionalFormatting sqref="P11:P12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{debe83c6-f983-420e-8268-9472e03e775f}</x14:id>
        </ext>
      </extLst>
    </cfRule>
  </conditionalFormatting>
  <conditionalFormatting sqref="P13:P14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{79e9bdc2-5f1d-4932-9a36-ddaabc4a063b}</x14:id>
        </ext>
      </extLst>
    </cfRule>
  </conditionalFormatting>
  <conditionalFormatting sqref="P15:P1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{7f7b7e80-8755-4e7d-8df8-c606aa3f8467}</x14:id>
        </ext>
      </extLst>
    </cfRule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{63a58bdb-df3d-45cd-8994-8d9029d29310}</x14:id>
        </ext>
      </extLst>
    </cfRule>
  </conditionalFormatting>
  <conditionalFormatting sqref="Q4:Q14">
    <cfRule type="dataBar" priority="4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{7b39d8a6-ce24-41a4-9889-a40d10d3edb7}</x14:id>
        </ext>
      </extLst>
    </cfRule>
  </conditionalFormatting>
  <conditionalFormatting sqref="Q11:Q12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{b20cd6ad-a9a3-4392-ad20-2df5b4487b55}</x14:id>
        </ext>
      </extLst>
    </cfRule>
  </conditionalFormatting>
  <conditionalFormatting sqref="Q13:Q14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{2081fb01-1efe-4c71-af52-488cb6850104}</x14:id>
        </ext>
      </extLst>
    </cfRule>
  </conditionalFormatting>
  <conditionalFormatting sqref="Q15:Q1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{91f2e0ba-5527-410d-9eb7-560833854b59}</x14:id>
        </ext>
      </extLst>
    </cfRule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{659965ae-beaa-4694-80ec-14883a22c174}</x14:id>
        </ext>
      </extLst>
    </cfRule>
  </conditionalFormatting>
  <conditionalFormatting sqref="K4:L14">
    <cfRule type="iconSet" priority="53">
      <iconSet iconSet="3TrafficLights1">
        <cfvo type="percent" val="0"/>
        <cfvo type="percent" val="33"/>
        <cfvo type="percent" val="67"/>
      </iconSet>
    </cfRule>
  </conditionalFormatting>
  <conditionalFormatting sqref="K11:L12">
    <cfRule type="iconSet" priority="39">
      <iconSet iconSet="3TrafficLights1">
        <cfvo type="percent" val="0"/>
        <cfvo type="percent" val="33"/>
        <cfvo type="percent" val="67"/>
      </iconSet>
    </cfRule>
  </conditionalFormatting>
  <conditionalFormatting sqref="K13:L14">
    <cfRule type="iconSet" priority="28">
      <iconSet iconSet="3TrafficLights1">
        <cfvo type="percent" val="0"/>
        <cfvo type="percent" val="33"/>
        <cfvo type="percent" val="67"/>
      </iconSet>
    </cfRule>
  </conditionalFormatting>
  <conditionalFormatting sqref="K15:L16">
    <cfRule type="iconSet" priority="6">
      <iconSet iconSet="3TrafficLights1">
        <cfvo type="percent" val="0"/>
        <cfvo type="percent" val="33"/>
        <cfvo type="percent" val="67"/>
      </iconSet>
    </cfRule>
    <cfRule type="iconSet" priority="17">
      <iconSet iconSet="3TrafficLights1">
        <cfvo type="percent" val="0"/>
        <cfvo type="percent" val="33"/>
        <cfvo type="percent" val="67"/>
      </iconSet>
    </cfRule>
  </conditionalFormatting>
  <pageMargins left="0.75" right="0.75" top="1" bottom="1" header="0.5" footer="0.5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6c2f22-e982-457b-9ee9-b99f125230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G4:G14</xm:sqref>
        </x14:conditionalFormatting>
        <x14:conditionalFormatting xmlns:xm="http://schemas.microsoft.com/office/excel/2006/main">
          <x14:cfRule type="dataBar" id="{e6fd83c0-8f46-433f-b6ba-890513fbab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G11:G12</xm:sqref>
        </x14:conditionalFormatting>
        <x14:conditionalFormatting xmlns:xm="http://schemas.microsoft.com/office/excel/2006/main">
          <x14:cfRule type="dataBar" id="{71c8bc02-20b0-4efd-b4d0-af7c7ab2bd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G13:G14</xm:sqref>
        </x14:conditionalFormatting>
        <x14:conditionalFormatting xmlns:xm="http://schemas.microsoft.com/office/excel/2006/main">
          <x14:cfRule type="dataBar" id="{18ddaf55-4a7c-4321-ac4d-ed2f39ad18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3a385a-de96-4974-b53f-d7d24a2d81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G15:G16</xm:sqref>
        </x14:conditionalFormatting>
        <x14:conditionalFormatting xmlns:xm="http://schemas.microsoft.com/office/excel/2006/main">
          <x14:cfRule type="dataBar" id="{7ec01e16-6c9b-4e7a-b69d-fd8abb4631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H4:H14</xm:sqref>
        </x14:conditionalFormatting>
        <x14:conditionalFormatting xmlns:xm="http://schemas.microsoft.com/office/excel/2006/main">
          <x14:cfRule type="dataBar" id="{5de156e8-6185-4701-9091-5fb89403a3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H11:H12</xm:sqref>
        </x14:conditionalFormatting>
        <x14:conditionalFormatting xmlns:xm="http://schemas.microsoft.com/office/excel/2006/main">
          <x14:cfRule type="dataBar" id="{973a9e50-b388-4619-97f9-42d9a5d481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H13:H14</xm:sqref>
        </x14:conditionalFormatting>
        <x14:conditionalFormatting xmlns:xm="http://schemas.microsoft.com/office/excel/2006/main">
          <x14:cfRule type="dataBar" id="{c1da3ffc-7e07-493b-98d7-2d38f447fb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1ef2a5-0243-4d83-8405-e49738949d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H15:H16</xm:sqref>
        </x14:conditionalFormatting>
        <x14:conditionalFormatting xmlns:xm="http://schemas.microsoft.com/office/excel/2006/main">
          <x14:cfRule type="dataBar" id="{d5e63e90-1c41-4e59-b05b-4b73f039fd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I4:I14</xm:sqref>
        </x14:conditionalFormatting>
        <x14:conditionalFormatting xmlns:xm="http://schemas.microsoft.com/office/excel/2006/main">
          <x14:cfRule type="dataBar" id="{db90e631-6e3f-44e5-ab21-0e6aef5848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I11:I12</xm:sqref>
        </x14:conditionalFormatting>
        <x14:conditionalFormatting xmlns:xm="http://schemas.microsoft.com/office/excel/2006/main">
          <x14:cfRule type="dataBar" id="{194cd90f-a449-4b9b-b516-928cb7bad0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I13:I14</xm:sqref>
        </x14:conditionalFormatting>
        <x14:conditionalFormatting xmlns:xm="http://schemas.microsoft.com/office/excel/2006/main">
          <x14:cfRule type="dataBar" id="{d3796394-505a-48e2-935b-3baa4aa558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a1d285-8b0b-4549-878e-15bc439d7c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I15:I16</xm:sqref>
        </x14:conditionalFormatting>
        <x14:conditionalFormatting xmlns:xm="http://schemas.microsoft.com/office/excel/2006/main">
          <x14:cfRule type="dataBar" id="{10d9a766-f5ec-4d02-a609-6b974956436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P4:P14</xm:sqref>
        </x14:conditionalFormatting>
        <x14:conditionalFormatting xmlns:xm="http://schemas.microsoft.com/office/excel/2006/main">
          <x14:cfRule type="dataBar" id="{debe83c6-f983-420e-8268-9472e03e775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P11:P12</xm:sqref>
        </x14:conditionalFormatting>
        <x14:conditionalFormatting xmlns:xm="http://schemas.microsoft.com/office/excel/2006/main">
          <x14:cfRule type="dataBar" id="{79e9bdc2-5f1d-4932-9a36-ddaabc4a063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P13:P14</xm:sqref>
        </x14:conditionalFormatting>
        <x14:conditionalFormatting xmlns:xm="http://schemas.microsoft.com/office/excel/2006/main">
          <x14:cfRule type="dataBar" id="{7f7b7e80-8755-4e7d-8df8-c606aa3f846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63a58bdb-df3d-45cd-8994-8d9029d2931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P15:P16</xm:sqref>
        </x14:conditionalFormatting>
        <x14:conditionalFormatting xmlns:xm="http://schemas.microsoft.com/office/excel/2006/main">
          <x14:cfRule type="dataBar" id="{7b39d8a6-ce24-41a4-9889-a40d10d3edb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Q4:Q14</xm:sqref>
        </x14:conditionalFormatting>
        <x14:conditionalFormatting xmlns:xm="http://schemas.microsoft.com/office/excel/2006/main">
          <x14:cfRule type="dataBar" id="{b20cd6ad-a9a3-4392-ad20-2df5b4487b5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Q11:Q12</xm:sqref>
        </x14:conditionalFormatting>
        <x14:conditionalFormatting xmlns:xm="http://schemas.microsoft.com/office/excel/2006/main">
          <x14:cfRule type="dataBar" id="{2081fb01-1efe-4c71-af52-488cb685010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Q13:Q14</xm:sqref>
        </x14:conditionalFormatting>
        <x14:conditionalFormatting xmlns:xm="http://schemas.microsoft.com/office/excel/2006/main">
          <x14:cfRule type="dataBar" id="{91f2e0ba-5527-410d-9eb7-560833854b5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659965ae-beaa-4694-80ec-14883a22c17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Anushka Gaikwad</cp:lastModifiedBy>
  <dcterms:created xsi:type="dcterms:W3CDTF">2026-08-24T14:37:00Z</dcterms:created>
  <dcterms:modified xsi:type="dcterms:W3CDTF">2026-10-03T04:48:22Z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B896BE453A854E0995586C36A981BE78_13</vt:lpwstr>
  </property>
  <property fmtid="{D5CDD505-2E9C-101B-9397-08002B2CF9AE}" pid="3" name="KSOProductBuildVer">
    <vt:lpwstr>2057-12.2.0.23206</vt:lpwstr>
  </property>
</Properties>
</file>